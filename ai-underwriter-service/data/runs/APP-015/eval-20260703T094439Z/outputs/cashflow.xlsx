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Pooja Desai</t>
        </is>
      </c>
    </row>
    <row r="4">
      <c r="A4" s="2" t="inlineStr">
        <is>
          <t>Application ID</t>
        </is>
      </c>
      <c r="B4" t="inlineStr">
        <is>
          <t>APP-015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90000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10253.28892740765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770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30</v>
      </c>
    </row>
    <row r="15">
      <c r="A15" s="2" t="inlineStr">
        <is>
          <t>Unexplained large cash deposit</t>
        </is>
      </c>
      <c r="B15" t="inlineStr">
        <is>
          <t>Yes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R6_UNEXPLAINED_DEPOSIT</t>
        </is>
      </c>
      <c r="B20" t="inlineStr">
        <is>
          <t>A large cash deposit exceeding 50% of monthly income was found without a clear explanation.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90000</v>
      </c>
      <c r="E2" t="n">
        <v>81845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4000</v>
      </c>
      <c r="E3" t="n">
        <v>77845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1643</v>
      </c>
      <c r="E4" t="n">
        <v>76202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77094</v>
      </c>
      <c r="E5" t="n">
        <v>-892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90000</v>
      </c>
      <c r="E6" t="n">
        <v>89108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4000</v>
      </c>
      <c r="E7" t="n">
        <v>85108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1302</v>
      </c>
      <c r="E8" t="n">
        <v>83806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79490</v>
      </c>
      <c r="E9" t="n">
        <v>4316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90000</v>
      </c>
      <c r="E10" t="n">
        <v>94316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4000</v>
      </c>
      <c r="E11" t="n">
        <v>240316</v>
      </c>
      <c r="F11" t="inlineStr">
        <is>
          <t>emi</t>
        </is>
      </c>
    </row>
    <row r="12">
      <c r="A12" s="6" t="n">
        <v>45912</v>
      </c>
      <c r="B12" t="inlineStr">
        <is>
          <t>CASH DEPOSIT - BRANCH</t>
        </is>
      </c>
      <c r="D12" t="n">
        <v>150000</v>
      </c>
      <c r="E12" t="n">
        <v>244316</v>
      </c>
      <c r="F12" t="inlineStr">
        <is>
          <t>cash_deposit</t>
        </is>
      </c>
    </row>
    <row r="13">
      <c r="A13" s="6" t="n">
        <v>45915</v>
      </c>
      <c r="B13" t="inlineStr">
        <is>
          <t>UPI - UTILITIES &amp; BILLS</t>
        </is>
      </c>
      <c r="C13" t="n">
        <v>2598</v>
      </c>
      <c r="E13" t="n">
        <v>237718</v>
      </c>
      <c r="F13" t="inlineStr">
        <is>
          <t>other</t>
        </is>
      </c>
    </row>
    <row r="14">
      <c r="A14" s="6" t="n">
        <v>45925</v>
      </c>
      <c r="B14" t="inlineStr">
        <is>
          <t>POS / UPI - HOUSEHOLD SPENDS</t>
        </is>
      </c>
      <c r="C14" t="n">
        <v>224429</v>
      </c>
      <c r="E14" t="n">
        <v>13289</v>
      </c>
      <c r="F14" t="inlineStr">
        <is>
          <t>other</t>
        </is>
      </c>
    </row>
    <row r="15">
      <c r="A15" s="6" t="n">
        <v>45935</v>
      </c>
      <c r="B15" t="inlineStr">
        <is>
          <t>Salary Credit - EMP PAYROLL</t>
        </is>
      </c>
      <c r="D15" t="n">
        <v>90000</v>
      </c>
      <c r="E15" t="n">
        <v>103289</v>
      </c>
      <c r="F15" t="inlineStr">
        <is>
          <t>salary</t>
        </is>
      </c>
    </row>
    <row r="16">
      <c r="A16" s="6" t="n">
        <v>45937</v>
      </c>
      <c r="B16" t="inlineStr">
        <is>
          <t>ACH Debit - EXISTING LOAN EMI</t>
        </is>
      </c>
      <c r="C16" t="n">
        <v>4000</v>
      </c>
      <c r="E16" t="n">
        <v>99289</v>
      </c>
      <c r="F16" t="inlineStr">
        <is>
          <t>emi</t>
        </is>
      </c>
    </row>
    <row r="17">
      <c r="A17" s="6" t="n">
        <v>45945</v>
      </c>
      <c r="B17" t="inlineStr">
        <is>
          <t>UPI - UTILITIES &amp; BILLS</t>
        </is>
      </c>
      <c r="C17" t="n">
        <v>1303</v>
      </c>
      <c r="E17" t="n">
        <v>97986</v>
      </c>
      <c r="F17" t="inlineStr">
        <is>
          <t>other</t>
        </is>
      </c>
    </row>
    <row r="18">
      <c r="A18" s="6" t="n">
        <v>45955</v>
      </c>
      <c r="B18" t="inlineStr">
        <is>
          <t>POS / UPI - HOUSEHOLD SPENDS</t>
        </is>
      </c>
      <c r="C18" t="n">
        <v>81205</v>
      </c>
      <c r="E18" t="n">
        <v>16781</v>
      </c>
      <c r="F18" t="inlineStr">
        <is>
          <t>other</t>
        </is>
      </c>
    </row>
    <row r="19">
      <c r="A19" s="6" t="n">
        <v>45966</v>
      </c>
      <c r="B19" t="inlineStr">
        <is>
          <t>Salary Credit - EMP PAYROLL</t>
        </is>
      </c>
      <c r="D19" t="n">
        <v>90000</v>
      </c>
      <c r="E19" t="n">
        <v>106781</v>
      </c>
      <c r="F19" t="inlineStr">
        <is>
          <t>salary</t>
        </is>
      </c>
    </row>
    <row r="20">
      <c r="A20" s="6" t="n">
        <v>45968</v>
      </c>
      <c r="B20" t="inlineStr">
        <is>
          <t>ACH Debit - EXISTING LOAN EMI</t>
        </is>
      </c>
      <c r="C20" t="n">
        <v>4000</v>
      </c>
      <c r="E20" t="n">
        <v>102781</v>
      </c>
      <c r="F20" t="inlineStr">
        <is>
          <t>emi</t>
        </is>
      </c>
    </row>
    <row r="21">
      <c r="A21" s="6" t="n">
        <v>45976</v>
      </c>
      <c r="B21" t="inlineStr">
        <is>
          <t>UPI - UTILITIES &amp; BILLS</t>
        </is>
      </c>
      <c r="C21" t="n">
        <v>1571</v>
      </c>
      <c r="E21" t="n">
        <v>101210</v>
      </c>
      <c r="F21" t="inlineStr">
        <is>
          <t>other</t>
        </is>
      </c>
    </row>
    <row r="22">
      <c r="A22" s="6" t="n">
        <v>45986</v>
      </c>
      <c r="B22" t="inlineStr">
        <is>
          <t>POS / UPI - HOUSEHOLD SPENDS</t>
        </is>
      </c>
      <c r="C22" t="n">
        <v>75896</v>
      </c>
      <c r="E22" t="n">
        <v>25314</v>
      </c>
      <c r="F22" t="inlineStr">
        <is>
          <t>other</t>
        </is>
      </c>
    </row>
    <row r="23">
      <c r="A23" s="6" t="n">
        <v>45996</v>
      </c>
      <c r="B23" t="inlineStr">
        <is>
          <t>Salary Credit - EMP PAYROLL</t>
        </is>
      </c>
      <c r="D23" t="n">
        <v>90000</v>
      </c>
      <c r="E23" t="n">
        <v>115314</v>
      </c>
      <c r="F23" t="inlineStr">
        <is>
          <t>salary</t>
        </is>
      </c>
    </row>
    <row r="24">
      <c r="A24" s="6" t="n">
        <v>45998</v>
      </c>
      <c r="B24" t="inlineStr">
        <is>
          <t>ACH Debit - EXISTING LOAN EMI</t>
        </is>
      </c>
      <c r="C24" t="n">
        <v>4000</v>
      </c>
      <c r="E24" t="n">
        <v>111314</v>
      </c>
      <c r="F24" t="inlineStr">
        <is>
          <t>emi</t>
        </is>
      </c>
    </row>
    <row r="25">
      <c r="A25" s="6" t="n">
        <v>46006</v>
      </c>
      <c r="B25" t="inlineStr">
        <is>
          <t>UPI - UTILITIES &amp; BILLS</t>
        </is>
      </c>
      <c r="C25" t="n">
        <v>2433</v>
      </c>
      <c r="E25" t="n">
        <v>108881</v>
      </c>
      <c r="F25" t="inlineStr">
        <is>
          <t>other</t>
        </is>
      </c>
    </row>
    <row r="26">
      <c r="A26" s="6" t="n">
        <v>46016</v>
      </c>
      <c r="B26" t="inlineStr">
        <is>
          <t>POS / UPI - HOUSEHOLD SPENDS</t>
        </is>
      </c>
      <c r="C26" t="n">
        <v>75412</v>
      </c>
      <c r="E26" t="n">
        <v>33469</v>
      </c>
      <c r="F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SUMIFS(Transactions!D2:D26,Transactions!A2:A26,"&gt;="&amp;B2,Transactions!A2:A26,"&lt;="&amp;C2)</f>
        <v/>
      </c>
      <c r="E2">
        <f>SUMIFS(Transactions!C2:C26,Transactions!A2:A26,"&gt;="&amp;B2,Transactions!A2:A26,"&lt;="&amp;C2)</f>
        <v/>
      </c>
      <c r="F2">
        <f>SUMIFS(Transactions!D2:D26,Transactions!A2:A26,"&gt;="&amp;B2,Transactions!A2:A26,"&lt;="&amp;C2,Transactions!F2:F26,"salary")</f>
        <v/>
      </c>
      <c r="G2">
        <f>SUMIFS(Transactions!C2:C26,Transactions!A2:A26,"&gt;="&amp;B2,Transactions!A2:A26,"&lt;="&amp;C2,Transactions!F2:F26,"emi")</f>
        <v/>
      </c>
      <c r="H2">
        <f>INDEX(Transactions!E2:E26,MATCH(MAXIFS(Transactions!A2:A26,Transactions!A2:A26,"&gt;="&amp;B2,Transactions!A2:A26,"&lt;="&amp;C2),Transactions!A2:A26,0))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SUMIFS(Transactions!D2:D26,Transactions!A2:A26,"&gt;="&amp;B3,Transactions!A2:A26,"&lt;="&amp;C3)</f>
        <v/>
      </c>
      <c r="E3">
        <f>SUMIFS(Transactions!C2:C26,Transactions!A2:A26,"&gt;="&amp;B3,Transactions!A2:A26,"&lt;="&amp;C3)</f>
        <v/>
      </c>
      <c r="F3">
        <f>SUMIFS(Transactions!D2:D26,Transactions!A2:A26,"&gt;="&amp;B3,Transactions!A2:A26,"&lt;="&amp;C3,Transactions!F2:F26,"salary")</f>
        <v/>
      </c>
      <c r="G3">
        <f>SUMIFS(Transactions!C2:C26,Transactions!A2:A26,"&gt;="&amp;B3,Transactions!A2:A26,"&lt;="&amp;C3,Transactions!F2:F26,"emi")</f>
        <v/>
      </c>
      <c r="H3">
        <f>INDEX(Transactions!E2:E26,MATCH(MAXIFS(Transactions!A2:A26,Transactions!A2:A26,"&gt;="&amp;B3,Transactions!A2:A26,"&lt;="&amp;C3),Transactions!A2:A26,0))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SUMIFS(Transactions!D2:D26,Transactions!A2:A26,"&gt;="&amp;B4,Transactions!A2:A26,"&lt;="&amp;C4)</f>
        <v/>
      </c>
      <c r="E4">
        <f>SUMIFS(Transactions!C2:C26,Transactions!A2:A26,"&gt;="&amp;B4,Transactions!A2:A26,"&lt;="&amp;C4)</f>
        <v/>
      </c>
      <c r="F4">
        <f>SUMIFS(Transactions!D2:D26,Transactions!A2:A26,"&gt;="&amp;B4,Transactions!A2:A26,"&lt;="&amp;C4,Transactions!F2:F26,"salary")</f>
        <v/>
      </c>
      <c r="G4">
        <f>SUMIFS(Transactions!C2:C26,Transactions!A2:A26,"&gt;="&amp;B4,Transactions!A2:A26,"&lt;="&amp;C4,Transactions!F2:F26,"emi")</f>
        <v/>
      </c>
      <c r="H4">
        <f>INDEX(Transactions!E2:E26,MATCH(MAXIFS(Transactions!A2:A26,Transactions!A2:A26,"&gt;="&amp;B4,Transactions!A2:A26,"&lt;="&amp;C4),Transactions!A2:A26,0))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SUMIFS(Transactions!D2:D26,Transactions!A2:A26,"&gt;="&amp;B5,Transactions!A2:A26,"&lt;="&amp;C5)</f>
        <v/>
      </c>
      <c r="E5">
        <f>SUMIFS(Transactions!C2:C26,Transactions!A2:A26,"&gt;="&amp;B5,Transactions!A2:A26,"&lt;="&amp;C5)</f>
        <v/>
      </c>
      <c r="F5">
        <f>SUMIFS(Transactions!D2:D26,Transactions!A2:A26,"&gt;="&amp;B5,Transactions!A2:A26,"&lt;="&amp;C5,Transactions!F2:F26,"salary")</f>
        <v/>
      </c>
      <c r="G5">
        <f>SUMIFS(Transactions!C2:C26,Transactions!A2:A26,"&gt;="&amp;B5,Transactions!A2:A26,"&lt;="&amp;C5,Transactions!F2:F26,"emi")</f>
        <v/>
      </c>
      <c r="H5">
        <f>INDEX(Transactions!E2:E26,MATCH(MAXIFS(Transactions!A2:A26,Transactions!A2:A26,"&gt;="&amp;B5,Transactions!A2:A26,"&lt;="&amp;C5),Transactions!A2:A26,0))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SUMIFS(Transactions!D2:D26,Transactions!A2:A26,"&gt;="&amp;B6,Transactions!A2:A26,"&lt;="&amp;C6)</f>
        <v/>
      </c>
      <c r="E6">
        <f>SUMIFS(Transactions!C2:C26,Transactions!A2:A26,"&gt;="&amp;B6,Transactions!A2:A26,"&lt;="&amp;C6)</f>
        <v/>
      </c>
      <c r="F6">
        <f>SUMIFS(Transactions!D2:D26,Transactions!A2:A26,"&gt;="&amp;B6,Transactions!A2:A26,"&lt;="&amp;C6,Transactions!F2:F26,"salary")</f>
        <v/>
      </c>
      <c r="G6">
        <f>SUMIFS(Transactions!C2:C26,Transactions!A2:A26,"&gt;="&amp;B6,Transactions!A2:A26,"&lt;="&amp;C6,Transactions!F2:F26,"emi")</f>
        <v/>
      </c>
      <c r="H6">
        <f>INDEX(Transactions!E2:E26,MATCH(MAXIFS(Transactions!A2:A26,Transactions!A2:A26,"&gt;="&amp;B6,Transactions!A2:A26,"&lt;="&amp;C6),Transactions!A2:A26,0))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SUMIFS(Transactions!D2:D26,Transactions!A2:A26,"&gt;="&amp;B7,Transactions!A2:A26,"&lt;="&amp;C7)</f>
        <v/>
      </c>
      <c r="E7">
        <f>SUMIFS(Transactions!C2:C26,Transactions!A2:A26,"&gt;="&amp;B7,Transactions!A2:A26,"&lt;="&amp;C7)</f>
        <v/>
      </c>
      <c r="F7">
        <f>SUMIFS(Transactions!D2:D26,Transactions!A2:A26,"&gt;="&amp;B7,Transactions!A2:A26,"&lt;="&amp;C7,Transactions!F2:F26,"salary")</f>
        <v/>
      </c>
      <c r="G7">
        <f>SUMIFS(Transactions!C2:C26,Transactions!A2:A26,"&gt;="&amp;B7,Transactions!A2:A26,"&lt;="&amp;C7,Transactions!F2:F26,"emi")</f>
        <v/>
      </c>
      <c r="H7">
        <f>INDEX(Transactions!E2:E26,MATCH(MAXIFS(Transactions!A2:A26,Transactions!A2:A26,"&gt;="&amp;B7,Transactions!A2:A26,"&lt;="&amp;C7),Transactions!A2:A26,0))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2026-07-03T09:44:41Z</dcterms:created>
  <dcterms:modified xsi:type="dcterms:W3CDTF">2026-07-03T09:44:41Z</dcterms:modified>
</cp:coreProperties>
</file>