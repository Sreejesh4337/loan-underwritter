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71D2A"/>
        <bgColor rgb="00A71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Suresh Kumar</t>
        </is>
      </c>
    </row>
    <row r="4">
      <c r="A4" s="2" t="inlineStr">
        <is>
          <t>Application ID</t>
        </is>
      </c>
      <c r="B4" t="inlineStr">
        <is>
          <t>APP-010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70000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10547.10991090497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610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1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DECLINE</t>
        </is>
      </c>
    </row>
    <row r="19">
      <c r="A19" s="2" t="inlineStr">
        <is>
          <t>Reasons</t>
        </is>
      </c>
    </row>
    <row r="20">
      <c r="A20" t="inlineStr">
        <is>
          <t>D1_CREDIT_SCORE</t>
        </is>
      </c>
      <c r="B20" t="inlineStr">
        <is>
          <t>Credit score of 610 is below the decline threshold of 650.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70000</v>
      </c>
      <c r="E2" t="n">
        <v>60200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8000</v>
      </c>
      <c r="E3" t="n">
        <v>52200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1299</v>
      </c>
      <c r="E4" t="n">
        <v>50901</v>
      </c>
      <c r="F4" t="inlineStr">
        <is>
          <t>other</t>
        </is>
      </c>
    </row>
    <row r="5">
      <c r="A5" s="6" t="n">
        <v>45857</v>
      </c>
      <c r="B5" t="inlineStr">
        <is>
          <t>ECS RETURN CHARGES - INSUFF FUNDS</t>
        </is>
      </c>
      <c r="C5" t="n">
        <v>590</v>
      </c>
      <c r="E5" t="n">
        <v>50311</v>
      </c>
      <c r="F5" t="inlineStr">
        <is>
          <t>return</t>
        </is>
      </c>
    </row>
    <row r="6">
      <c r="A6" s="6" t="n">
        <v>45863</v>
      </c>
      <c r="B6" t="inlineStr">
        <is>
          <t>POS / UPI - HOUSEHOLD SPENDS</t>
        </is>
      </c>
      <c r="C6" t="n">
        <v>53693</v>
      </c>
      <c r="E6" t="n">
        <v>-3382</v>
      </c>
      <c r="F6" t="inlineStr">
        <is>
          <t>other</t>
        </is>
      </c>
    </row>
    <row r="7">
      <c r="A7" s="6" t="n">
        <v>45874</v>
      </c>
      <c r="B7" t="inlineStr">
        <is>
          <t>Salary Credit - EMP PAYROLL</t>
        </is>
      </c>
      <c r="D7" t="n">
        <v>70000</v>
      </c>
      <c r="E7" t="n">
        <v>66618</v>
      </c>
      <c r="F7" t="inlineStr">
        <is>
          <t>salary</t>
        </is>
      </c>
    </row>
    <row r="8">
      <c r="A8" s="6" t="n">
        <v>45876</v>
      </c>
      <c r="B8" t="inlineStr">
        <is>
          <t>ACH Debit - EXISTING LOAN EMI</t>
        </is>
      </c>
      <c r="C8" t="n">
        <v>8000</v>
      </c>
      <c r="E8" t="n">
        <v>58618</v>
      </c>
      <c r="F8" t="inlineStr">
        <is>
          <t>emi</t>
        </is>
      </c>
    </row>
    <row r="9">
      <c r="A9" s="6" t="n">
        <v>45884</v>
      </c>
      <c r="B9" t="inlineStr">
        <is>
          <t>UPI - UTILITIES &amp; BILLS</t>
        </is>
      </c>
      <c r="C9" t="n">
        <v>1521</v>
      </c>
      <c r="E9" t="n">
        <v>57097</v>
      </c>
      <c r="F9" t="inlineStr">
        <is>
          <t>other</t>
        </is>
      </c>
    </row>
    <row r="10">
      <c r="A10" s="6" t="n">
        <v>45894</v>
      </c>
      <c r="B10" t="inlineStr">
        <is>
          <t>POS / UPI - HOUSEHOLD SPENDS</t>
        </is>
      </c>
      <c r="C10" t="n">
        <v>52141</v>
      </c>
      <c r="E10" t="n">
        <v>4956</v>
      </c>
      <c r="F10" t="inlineStr">
        <is>
          <t>other</t>
        </is>
      </c>
    </row>
    <row r="11">
      <c r="A11" s="6" t="n">
        <v>45905</v>
      </c>
      <c r="B11" t="inlineStr">
        <is>
          <t>Salary Credit - EMP PAYROLL</t>
        </is>
      </c>
      <c r="D11" t="n">
        <v>70000</v>
      </c>
      <c r="E11" t="n">
        <v>74956</v>
      </c>
      <c r="F11" t="inlineStr">
        <is>
          <t>salary</t>
        </is>
      </c>
    </row>
    <row r="12">
      <c r="A12" s="6" t="n">
        <v>45907</v>
      </c>
      <c r="B12" t="inlineStr">
        <is>
          <t>ACH Debit - EXISTING LOAN EMI</t>
        </is>
      </c>
      <c r="C12" t="n">
        <v>8000</v>
      </c>
      <c r="E12" t="n">
        <v>66956</v>
      </c>
      <c r="F12" t="inlineStr">
        <is>
          <t>emi</t>
        </is>
      </c>
    </row>
    <row r="13">
      <c r="A13" s="6" t="n">
        <v>45915</v>
      </c>
      <c r="B13" t="inlineStr">
        <is>
          <t>UPI - UTILITIES &amp; BILLS</t>
        </is>
      </c>
      <c r="C13" t="n">
        <v>2403</v>
      </c>
      <c r="E13" t="n">
        <v>64553</v>
      </c>
      <c r="F13" t="inlineStr">
        <is>
          <t>other</t>
        </is>
      </c>
    </row>
    <row r="14">
      <c r="A14" s="6" t="n">
        <v>45925</v>
      </c>
      <c r="B14" t="inlineStr">
        <is>
          <t>POS / UPI - HOUSEHOLD SPENDS</t>
        </is>
      </c>
      <c r="C14" t="n">
        <v>57101</v>
      </c>
      <c r="E14" t="n">
        <v>7452</v>
      </c>
      <c r="F14" t="inlineStr">
        <is>
          <t>other</t>
        </is>
      </c>
    </row>
    <row r="15">
      <c r="A15" s="6" t="n">
        <v>45935</v>
      </c>
      <c r="B15" t="inlineStr">
        <is>
          <t>Salary Credit - EMP PAYROLL</t>
        </is>
      </c>
      <c r="D15" t="n">
        <v>70000</v>
      </c>
      <c r="E15" t="n">
        <v>77452</v>
      </c>
      <c r="F15" t="inlineStr">
        <is>
          <t>salary</t>
        </is>
      </c>
    </row>
    <row r="16">
      <c r="A16" s="6" t="n">
        <v>45937</v>
      </c>
      <c r="B16" t="inlineStr">
        <is>
          <t>ACH Debit - EXISTING LOAN EMI</t>
        </is>
      </c>
      <c r="C16" t="n">
        <v>8000</v>
      </c>
      <c r="E16" t="n">
        <v>69452</v>
      </c>
      <c r="F16" t="inlineStr">
        <is>
          <t>emi</t>
        </is>
      </c>
    </row>
    <row r="17">
      <c r="A17" s="6" t="n">
        <v>45945</v>
      </c>
      <c r="B17" t="inlineStr">
        <is>
          <t>UPI - UTILITIES &amp; BILLS</t>
        </is>
      </c>
      <c r="C17" t="n">
        <v>1533</v>
      </c>
      <c r="E17" t="n">
        <v>67919</v>
      </c>
      <c r="F17" t="inlineStr">
        <is>
          <t>other</t>
        </is>
      </c>
    </row>
    <row r="18">
      <c r="A18" s="6" t="n">
        <v>45955</v>
      </c>
      <c r="B18" t="inlineStr">
        <is>
          <t>POS / UPI - HOUSEHOLD SPENDS</t>
        </is>
      </c>
      <c r="C18" t="n">
        <v>53784</v>
      </c>
      <c r="E18" t="n">
        <v>14135</v>
      </c>
      <c r="F18" t="inlineStr">
        <is>
          <t>other</t>
        </is>
      </c>
    </row>
    <row r="19">
      <c r="A19" s="6" t="n">
        <v>45966</v>
      </c>
      <c r="B19" t="inlineStr">
        <is>
          <t>Salary Credit - EMP PAYROLL</t>
        </is>
      </c>
      <c r="D19" t="n">
        <v>70000</v>
      </c>
      <c r="E19" t="n">
        <v>84135</v>
      </c>
      <c r="F19" t="inlineStr">
        <is>
          <t>salary</t>
        </is>
      </c>
    </row>
    <row r="20">
      <c r="A20" s="6" t="n">
        <v>45968</v>
      </c>
      <c r="B20" t="inlineStr">
        <is>
          <t>ACH Debit - EXISTING LOAN EMI</t>
        </is>
      </c>
      <c r="C20" t="n">
        <v>8000</v>
      </c>
      <c r="E20" t="n">
        <v>76135</v>
      </c>
      <c r="F20" t="inlineStr">
        <is>
          <t>emi</t>
        </is>
      </c>
    </row>
    <row r="21">
      <c r="A21" s="6" t="n">
        <v>45976</v>
      </c>
      <c r="B21" t="inlineStr">
        <is>
          <t>UPI - UTILITIES &amp; BILLS</t>
        </is>
      </c>
      <c r="C21" t="n">
        <v>1500</v>
      </c>
      <c r="E21" t="n">
        <v>74635</v>
      </c>
      <c r="F21" t="inlineStr">
        <is>
          <t>other</t>
        </is>
      </c>
    </row>
    <row r="22">
      <c r="A22" s="6" t="n">
        <v>45986</v>
      </c>
      <c r="B22" t="inlineStr">
        <is>
          <t>POS / UPI - HOUSEHOLD SPENDS</t>
        </is>
      </c>
      <c r="C22" t="n">
        <v>57574</v>
      </c>
      <c r="E22" t="n">
        <v>17061</v>
      </c>
      <c r="F22" t="inlineStr">
        <is>
          <t>other</t>
        </is>
      </c>
    </row>
    <row r="23">
      <c r="A23" s="6" t="n">
        <v>45996</v>
      </c>
      <c r="B23" t="inlineStr">
        <is>
          <t>Salary Credit - EMP PAYROLL</t>
        </is>
      </c>
      <c r="D23" t="n">
        <v>70000</v>
      </c>
      <c r="E23" t="n">
        <v>87061</v>
      </c>
      <c r="F23" t="inlineStr">
        <is>
          <t>salary</t>
        </is>
      </c>
    </row>
    <row r="24">
      <c r="A24" s="6" t="n">
        <v>45998</v>
      </c>
      <c r="B24" t="inlineStr">
        <is>
          <t>ACH Debit - EXISTING LOAN EMI</t>
        </is>
      </c>
      <c r="C24" t="n">
        <v>8000</v>
      </c>
      <c r="E24" t="n">
        <v>79061</v>
      </c>
      <c r="F24" t="inlineStr">
        <is>
          <t>emi</t>
        </is>
      </c>
    </row>
    <row r="25">
      <c r="A25" s="6" t="n">
        <v>46006</v>
      </c>
      <c r="B25" t="inlineStr">
        <is>
          <t>UPI - UTILITIES &amp; BILLS</t>
        </is>
      </c>
      <c r="C25" t="n">
        <v>2510</v>
      </c>
      <c r="E25" t="n">
        <v>76551</v>
      </c>
      <c r="F25" t="inlineStr">
        <is>
          <t>other</t>
        </is>
      </c>
    </row>
    <row r="26">
      <c r="A26" s="6" t="n">
        <v>46016</v>
      </c>
      <c r="B26" t="inlineStr">
        <is>
          <t>POS / UPI - HOUSEHOLD SPENDS</t>
        </is>
      </c>
      <c r="C26" t="n">
        <v>53493</v>
      </c>
      <c r="E26" t="n">
        <v>23058</v>
      </c>
      <c r="F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SUMIFS(Transactions!D2:D26,Transactions!A2:A26,"&gt;="&amp;B2,Transactions!A2:A26,"&lt;="&amp;C2)</f>
        <v/>
      </c>
      <c r="E2">
        <f>SUMIFS(Transactions!C2:C26,Transactions!A2:A26,"&gt;="&amp;B2,Transactions!A2:A26,"&lt;="&amp;C2)</f>
        <v/>
      </c>
      <c r="F2">
        <f>SUMIFS(Transactions!D2:D26,Transactions!A2:A26,"&gt;="&amp;B2,Transactions!A2:A26,"&lt;="&amp;C2,Transactions!F2:F26,"salary")</f>
        <v/>
      </c>
      <c r="G2">
        <f>SUMIFS(Transactions!C2:C26,Transactions!A2:A26,"&gt;="&amp;B2,Transactions!A2:A26,"&lt;="&amp;C2,Transactions!F2:F26,"emi")</f>
        <v/>
      </c>
      <c r="H2">
        <f>INDEX(Transactions!E2:E26,MATCH(MAXIFS(Transactions!A2:A26,Transactions!A2:A26,"&gt;="&amp;B2,Transactions!A2:A26,"&lt;="&amp;C2),Transactions!A2:A26,0))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SUMIFS(Transactions!D2:D26,Transactions!A2:A26,"&gt;="&amp;B3,Transactions!A2:A26,"&lt;="&amp;C3)</f>
        <v/>
      </c>
      <c r="E3">
        <f>SUMIFS(Transactions!C2:C26,Transactions!A2:A26,"&gt;="&amp;B3,Transactions!A2:A26,"&lt;="&amp;C3)</f>
        <v/>
      </c>
      <c r="F3">
        <f>SUMIFS(Transactions!D2:D26,Transactions!A2:A26,"&gt;="&amp;B3,Transactions!A2:A26,"&lt;="&amp;C3,Transactions!F2:F26,"salary")</f>
        <v/>
      </c>
      <c r="G3">
        <f>SUMIFS(Transactions!C2:C26,Transactions!A2:A26,"&gt;="&amp;B3,Transactions!A2:A26,"&lt;="&amp;C3,Transactions!F2:F26,"emi")</f>
        <v/>
      </c>
      <c r="H3">
        <f>INDEX(Transactions!E2:E26,MATCH(MAXIFS(Transactions!A2:A26,Transactions!A2:A26,"&gt;="&amp;B3,Transactions!A2:A26,"&lt;="&amp;C3),Transactions!A2:A26,0))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SUMIFS(Transactions!D2:D26,Transactions!A2:A26,"&gt;="&amp;B4,Transactions!A2:A26,"&lt;="&amp;C4)</f>
        <v/>
      </c>
      <c r="E4">
        <f>SUMIFS(Transactions!C2:C26,Transactions!A2:A26,"&gt;="&amp;B4,Transactions!A2:A26,"&lt;="&amp;C4)</f>
        <v/>
      </c>
      <c r="F4">
        <f>SUMIFS(Transactions!D2:D26,Transactions!A2:A26,"&gt;="&amp;B4,Transactions!A2:A26,"&lt;="&amp;C4,Transactions!F2:F26,"salary")</f>
        <v/>
      </c>
      <c r="G4">
        <f>SUMIFS(Transactions!C2:C26,Transactions!A2:A26,"&gt;="&amp;B4,Transactions!A2:A26,"&lt;="&amp;C4,Transactions!F2:F26,"emi")</f>
        <v/>
      </c>
      <c r="H4">
        <f>INDEX(Transactions!E2:E26,MATCH(MAXIFS(Transactions!A2:A26,Transactions!A2:A26,"&gt;="&amp;B4,Transactions!A2:A26,"&lt;="&amp;C4),Transactions!A2:A26,0))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SUMIFS(Transactions!D2:D26,Transactions!A2:A26,"&gt;="&amp;B5,Transactions!A2:A26,"&lt;="&amp;C5)</f>
        <v/>
      </c>
      <c r="E5">
        <f>SUMIFS(Transactions!C2:C26,Transactions!A2:A26,"&gt;="&amp;B5,Transactions!A2:A26,"&lt;="&amp;C5)</f>
        <v/>
      </c>
      <c r="F5">
        <f>SUMIFS(Transactions!D2:D26,Transactions!A2:A26,"&gt;="&amp;B5,Transactions!A2:A26,"&lt;="&amp;C5,Transactions!F2:F26,"salary")</f>
        <v/>
      </c>
      <c r="G5">
        <f>SUMIFS(Transactions!C2:C26,Transactions!A2:A26,"&gt;="&amp;B5,Transactions!A2:A26,"&lt;="&amp;C5,Transactions!F2:F26,"emi")</f>
        <v/>
      </c>
      <c r="H5">
        <f>INDEX(Transactions!E2:E26,MATCH(MAXIFS(Transactions!A2:A26,Transactions!A2:A26,"&gt;="&amp;B5,Transactions!A2:A26,"&lt;="&amp;C5),Transactions!A2:A26,0))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SUMIFS(Transactions!D2:D26,Transactions!A2:A26,"&gt;="&amp;B6,Transactions!A2:A26,"&lt;="&amp;C6)</f>
        <v/>
      </c>
      <c r="E6">
        <f>SUMIFS(Transactions!C2:C26,Transactions!A2:A26,"&gt;="&amp;B6,Transactions!A2:A26,"&lt;="&amp;C6)</f>
        <v/>
      </c>
      <c r="F6">
        <f>SUMIFS(Transactions!D2:D26,Transactions!A2:A26,"&gt;="&amp;B6,Transactions!A2:A26,"&lt;="&amp;C6,Transactions!F2:F26,"salary")</f>
        <v/>
      </c>
      <c r="G6">
        <f>SUMIFS(Transactions!C2:C26,Transactions!A2:A26,"&gt;="&amp;B6,Transactions!A2:A26,"&lt;="&amp;C6,Transactions!F2:F26,"emi")</f>
        <v/>
      </c>
      <c r="H6">
        <f>INDEX(Transactions!E2:E26,MATCH(MAXIFS(Transactions!A2:A26,Transactions!A2:A26,"&gt;="&amp;B6,Transactions!A2:A26,"&lt;="&amp;C6),Transactions!A2:A26,0))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SUMIFS(Transactions!D2:D26,Transactions!A2:A26,"&gt;="&amp;B7,Transactions!A2:A26,"&lt;="&amp;C7)</f>
        <v/>
      </c>
      <c r="E7">
        <f>SUMIFS(Transactions!C2:C26,Transactions!A2:A26,"&gt;="&amp;B7,Transactions!A2:A26,"&lt;="&amp;C7)</f>
        <v/>
      </c>
      <c r="F7">
        <f>SUMIFS(Transactions!D2:D26,Transactions!A2:A26,"&gt;="&amp;B7,Transactions!A2:A26,"&lt;="&amp;C7,Transactions!F2:F26,"salary")</f>
        <v/>
      </c>
      <c r="G7">
        <f>SUMIFS(Transactions!C2:C26,Transactions!A2:A26,"&gt;="&amp;B7,Transactions!A2:A26,"&lt;="&amp;C7,Transactions!F2:F26,"emi")</f>
        <v/>
      </c>
      <c r="H7">
        <f>INDEX(Transactions!E2:E26,MATCH(MAXIFS(Transactions!A2:A26,Transactions!A2:A26,"&gt;="&amp;B7,Transactions!A2:A26,"&lt;="&amp;C7),Transactions!A2:A26,0))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