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Arjun Nair</t>
        </is>
      </c>
    </row>
    <row r="4">
      <c r="A4" s="2" t="inlineStr">
        <is>
          <t>Application ID</t>
        </is>
      </c>
      <c r="B4" t="inlineStr">
        <is>
          <t>APP-003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150000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21461.99671501204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810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60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150000</v>
      </c>
      <c r="E2" t="n">
        <v>171839</v>
      </c>
      <c r="F2" t="inlineStr">
        <is>
          <t>salary</t>
        </is>
      </c>
    </row>
    <row r="3">
      <c r="A3" s="6" t="n">
        <v>45853</v>
      </c>
      <c r="B3" t="inlineStr">
        <is>
          <t>UPI - UTILITIES &amp; BILLS</t>
        </is>
      </c>
      <c r="C3" t="n">
        <v>2361</v>
      </c>
      <c r="E3" t="n">
        <v>169478</v>
      </c>
      <c r="F3" t="inlineStr">
        <is>
          <t>other</t>
        </is>
      </c>
    </row>
    <row r="4">
      <c r="A4" s="6" t="n">
        <v>45863</v>
      </c>
      <c r="B4" t="inlineStr">
        <is>
          <t>POS / UPI - HOUSEHOLD SPENDS</t>
        </is>
      </c>
      <c r="C4" t="n">
        <v>141309</v>
      </c>
      <c r="E4" t="n">
        <v>28169</v>
      </c>
      <c r="F4" t="inlineStr">
        <is>
          <t>other</t>
        </is>
      </c>
    </row>
    <row r="5">
      <c r="A5" s="6" t="n">
        <v>45874</v>
      </c>
      <c r="B5" t="inlineStr">
        <is>
          <t>Salary Credit - EMP PAYROLL</t>
        </is>
      </c>
      <c r="D5" t="n">
        <v>150000</v>
      </c>
      <c r="E5" t="n">
        <v>178169</v>
      </c>
      <c r="F5" t="inlineStr">
        <is>
          <t>salary</t>
        </is>
      </c>
    </row>
    <row r="6">
      <c r="A6" s="6" t="n">
        <v>45884</v>
      </c>
      <c r="B6" t="inlineStr">
        <is>
          <t>UPI - UTILITIES &amp; BILLS</t>
        </is>
      </c>
      <c r="C6" t="n">
        <v>2406</v>
      </c>
      <c r="E6" t="n">
        <v>175763</v>
      </c>
      <c r="F6" t="inlineStr">
        <is>
          <t>other</t>
        </is>
      </c>
    </row>
    <row r="7">
      <c r="A7" s="6" t="n">
        <v>45894</v>
      </c>
      <c r="B7" t="inlineStr">
        <is>
          <t>POS / UPI - HOUSEHOLD SPENDS</t>
        </is>
      </c>
      <c r="C7" t="n">
        <v>141553</v>
      </c>
      <c r="E7" t="n">
        <v>34210</v>
      </c>
      <c r="F7" t="inlineStr">
        <is>
          <t>other</t>
        </is>
      </c>
    </row>
    <row r="8">
      <c r="A8" s="6" t="n">
        <v>45905</v>
      </c>
      <c r="B8" t="inlineStr">
        <is>
          <t>Salary Credit - EMP PAYROLL</t>
        </is>
      </c>
      <c r="D8" t="n">
        <v>150000</v>
      </c>
      <c r="E8" t="n">
        <v>184210</v>
      </c>
      <c r="F8" t="inlineStr">
        <is>
          <t>salary</t>
        </is>
      </c>
    </row>
    <row r="9">
      <c r="A9" s="6" t="n">
        <v>45915</v>
      </c>
      <c r="B9" t="inlineStr">
        <is>
          <t>UPI - UTILITIES &amp; BILLS</t>
        </is>
      </c>
      <c r="C9" t="n">
        <v>2186</v>
      </c>
      <c r="E9" t="n">
        <v>182024</v>
      </c>
      <c r="F9" t="inlineStr">
        <is>
          <t>other</t>
        </is>
      </c>
    </row>
    <row r="10">
      <c r="A10" s="6" t="n">
        <v>45925</v>
      </c>
      <c r="B10" t="inlineStr">
        <is>
          <t>POS / UPI - HOUSEHOLD SPENDS</t>
        </is>
      </c>
      <c r="C10" t="n">
        <v>145493</v>
      </c>
      <c r="E10" t="n">
        <v>36531</v>
      </c>
      <c r="F10" t="inlineStr">
        <is>
          <t>other</t>
        </is>
      </c>
    </row>
    <row r="11">
      <c r="A11" s="6" t="n">
        <v>45935</v>
      </c>
      <c r="B11" t="inlineStr">
        <is>
          <t>Salary Credit - EMP PAYROLL</t>
        </is>
      </c>
      <c r="D11" t="n">
        <v>150000</v>
      </c>
      <c r="E11" t="n">
        <v>186531</v>
      </c>
      <c r="F11" t="inlineStr">
        <is>
          <t>salary</t>
        </is>
      </c>
    </row>
    <row r="12">
      <c r="A12" s="6" t="n">
        <v>45945</v>
      </c>
      <c r="B12" t="inlineStr">
        <is>
          <t>UPI - UTILITIES &amp; BILLS</t>
        </is>
      </c>
      <c r="C12" t="n">
        <v>1519</v>
      </c>
      <c r="E12" t="n">
        <v>185012</v>
      </c>
      <c r="F12" t="inlineStr">
        <is>
          <t>other</t>
        </is>
      </c>
    </row>
    <row r="13">
      <c r="A13" s="6" t="n">
        <v>45955</v>
      </c>
      <c r="B13" t="inlineStr">
        <is>
          <t>POS / UPI - HOUSEHOLD SPENDS</t>
        </is>
      </c>
      <c r="C13" t="n">
        <v>144455</v>
      </c>
      <c r="E13" t="n">
        <v>40557</v>
      </c>
      <c r="F13" t="inlineStr">
        <is>
          <t>other</t>
        </is>
      </c>
    </row>
    <row r="14">
      <c r="A14" s="6" t="n">
        <v>45966</v>
      </c>
      <c r="B14" t="inlineStr">
        <is>
          <t>Salary Credit - EMP PAYROLL</t>
        </is>
      </c>
      <c r="D14" t="n">
        <v>150000</v>
      </c>
      <c r="E14" t="n">
        <v>190557</v>
      </c>
      <c r="F14" t="inlineStr">
        <is>
          <t>salary</t>
        </is>
      </c>
    </row>
    <row r="15">
      <c r="A15" s="6" t="n">
        <v>45976</v>
      </c>
      <c r="B15" t="inlineStr">
        <is>
          <t>UPI - UTILITIES &amp; BILLS</t>
        </is>
      </c>
      <c r="C15" t="n">
        <v>1312</v>
      </c>
      <c r="E15" t="n">
        <v>189245</v>
      </c>
      <c r="F15" t="inlineStr">
        <is>
          <t>other</t>
        </is>
      </c>
    </row>
    <row r="16">
      <c r="A16" s="6" t="n">
        <v>45986</v>
      </c>
      <c r="B16" t="inlineStr">
        <is>
          <t>POS / UPI - HOUSEHOLD SPENDS</t>
        </is>
      </c>
      <c r="C16" t="n">
        <v>145058</v>
      </c>
      <c r="E16" t="n">
        <v>44187</v>
      </c>
      <c r="F16" t="inlineStr">
        <is>
          <t>other</t>
        </is>
      </c>
    </row>
    <row r="17">
      <c r="A17" s="6" t="n">
        <v>45996</v>
      </c>
      <c r="B17" t="inlineStr">
        <is>
          <t>Salary Credit - EMP PAYROLL</t>
        </is>
      </c>
      <c r="D17" t="n">
        <v>150000</v>
      </c>
      <c r="E17" t="n">
        <v>194187</v>
      </c>
      <c r="F17" t="inlineStr">
        <is>
          <t>salary</t>
        </is>
      </c>
    </row>
    <row r="18">
      <c r="A18" s="6" t="n">
        <v>46006</v>
      </c>
      <c r="B18" t="inlineStr">
        <is>
          <t>UPI - UTILITIES &amp; BILLS</t>
        </is>
      </c>
      <c r="C18" t="n">
        <v>1341</v>
      </c>
      <c r="E18" t="n">
        <v>192846</v>
      </c>
      <c r="F18" t="inlineStr">
        <is>
          <t>other</t>
        </is>
      </c>
    </row>
    <row r="19">
      <c r="A19" s="6" t="n">
        <v>46016</v>
      </c>
      <c r="B19" t="inlineStr">
        <is>
          <t>POS / UPI - HOUSEHOLD SPENDS</t>
        </is>
      </c>
      <c r="C19" t="n">
        <v>144713</v>
      </c>
      <c r="E19" t="n">
        <v>48133</v>
      </c>
      <c r="F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SUMIFS(Transactions!D2:D19,Transactions!A2:A19,"&gt;="&amp;B2,Transactions!A2:A19,"&lt;="&amp;C2)</f>
        <v/>
      </c>
      <c r="E2">
        <f>SUMIFS(Transactions!C2:C19,Transactions!A2:A19,"&gt;="&amp;B2,Transactions!A2:A19,"&lt;="&amp;C2)</f>
        <v/>
      </c>
      <c r="F2">
        <f>SUMIFS(Transactions!D2:D19,Transactions!A2:A19,"&gt;="&amp;B2,Transactions!A2:A19,"&lt;="&amp;C2,Transactions!F2:F19,"salary")</f>
        <v/>
      </c>
      <c r="G2">
        <f>SUMIFS(Transactions!C2:C19,Transactions!A2:A19,"&gt;="&amp;B2,Transactions!A2:A19,"&lt;="&amp;C2,Transactions!F2:F19,"emi")</f>
        <v/>
      </c>
      <c r="H2">
        <f>INDEX(Transactions!E2:E19,MATCH(MAXIFS(Transactions!A2:A19,Transactions!A2:A19,"&gt;="&amp;B2,Transactions!A2:A19,"&lt;="&amp;C2),Transactions!A2:A19,0))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SUMIFS(Transactions!D2:D19,Transactions!A2:A19,"&gt;="&amp;B3,Transactions!A2:A19,"&lt;="&amp;C3)</f>
        <v/>
      </c>
      <c r="E3">
        <f>SUMIFS(Transactions!C2:C19,Transactions!A2:A19,"&gt;="&amp;B3,Transactions!A2:A19,"&lt;="&amp;C3)</f>
        <v/>
      </c>
      <c r="F3">
        <f>SUMIFS(Transactions!D2:D19,Transactions!A2:A19,"&gt;="&amp;B3,Transactions!A2:A19,"&lt;="&amp;C3,Transactions!F2:F19,"salary")</f>
        <v/>
      </c>
      <c r="G3">
        <f>SUMIFS(Transactions!C2:C19,Transactions!A2:A19,"&gt;="&amp;B3,Transactions!A2:A19,"&lt;="&amp;C3,Transactions!F2:F19,"emi")</f>
        <v/>
      </c>
      <c r="H3">
        <f>INDEX(Transactions!E2:E19,MATCH(MAXIFS(Transactions!A2:A19,Transactions!A2:A19,"&gt;="&amp;B3,Transactions!A2:A19,"&lt;="&amp;C3),Transactions!A2:A19,0))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SUMIFS(Transactions!D2:D19,Transactions!A2:A19,"&gt;="&amp;B4,Transactions!A2:A19,"&lt;="&amp;C4)</f>
        <v/>
      </c>
      <c r="E4">
        <f>SUMIFS(Transactions!C2:C19,Transactions!A2:A19,"&gt;="&amp;B4,Transactions!A2:A19,"&lt;="&amp;C4)</f>
        <v/>
      </c>
      <c r="F4">
        <f>SUMIFS(Transactions!D2:D19,Transactions!A2:A19,"&gt;="&amp;B4,Transactions!A2:A19,"&lt;="&amp;C4,Transactions!F2:F19,"salary")</f>
        <v/>
      </c>
      <c r="G4">
        <f>SUMIFS(Transactions!C2:C19,Transactions!A2:A19,"&gt;="&amp;B4,Transactions!A2:A19,"&lt;="&amp;C4,Transactions!F2:F19,"emi")</f>
        <v/>
      </c>
      <c r="H4">
        <f>INDEX(Transactions!E2:E19,MATCH(MAXIFS(Transactions!A2:A19,Transactions!A2:A19,"&gt;="&amp;B4,Transactions!A2:A19,"&lt;="&amp;C4),Transactions!A2:A19,0))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SUMIFS(Transactions!D2:D19,Transactions!A2:A19,"&gt;="&amp;B5,Transactions!A2:A19,"&lt;="&amp;C5)</f>
        <v/>
      </c>
      <c r="E5">
        <f>SUMIFS(Transactions!C2:C19,Transactions!A2:A19,"&gt;="&amp;B5,Transactions!A2:A19,"&lt;="&amp;C5)</f>
        <v/>
      </c>
      <c r="F5">
        <f>SUMIFS(Transactions!D2:D19,Transactions!A2:A19,"&gt;="&amp;B5,Transactions!A2:A19,"&lt;="&amp;C5,Transactions!F2:F19,"salary")</f>
        <v/>
      </c>
      <c r="G5">
        <f>SUMIFS(Transactions!C2:C19,Transactions!A2:A19,"&gt;="&amp;B5,Transactions!A2:A19,"&lt;="&amp;C5,Transactions!F2:F19,"emi")</f>
        <v/>
      </c>
      <c r="H5">
        <f>INDEX(Transactions!E2:E19,MATCH(MAXIFS(Transactions!A2:A19,Transactions!A2:A19,"&gt;="&amp;B5,Transactions!A2:A19,"&lt;="&amp;C5),Transactions!A2:A19,0))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SUMIFS(Transactions!D2:D19,Transactions!A2:A19,"&gt;="&amp;B6,Transactions!A2:A19,"&lt;="&amp;C6)</f>
        <v/>
      </c>
      <c r="E6">
        <f>SUMIFS(Transactions!C2:C19,Transactions!A2:A19,"&gt;="&amp;B6,Transactions!A2:A19,"&lt;="&amp;C6)</f>
        <v/>
      </c>
      <c r="F6">
        <f>SUMIFS(Transactions!D2:D19,Transactions!A2:A19,"&gt;="&amp;B6,Transactions!A2:A19,"&lt;="&amp;C6,Transactions!F2:F19,"salary")</f>
        <v/>
      </c>
      <c r="G6">
        <f>SUMIFS(Transactions!C2:C19,Transactions!A2:A19,"&gt;="&amp;B6,Transactions!A2:A19,"&lt;="&amp;C6,Transactions!F2:F19,"emi")</f>
        <v/>
      </c>
      <c r="H6">
        <f>INDEX(Transactions!E2:E19,MATCH(MAXIFS(Transactions!A2:A19,Transactions!A2:A19,"&gt;="&amp;B6,Transactions!A2:A19,"&lt;="&amp;C6),Transactions!A2:A19,0))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SUMIFS(Transactions!D2:D19,Transactions!A2:A19,"&gt;="&amp;B7,Transactions!A2:A19,"&lt;="&amp;C7)</f>
        <v/>
      </c>
      <c r="E7">
        <f>SUMIFS(Transactions!C2:C19,Transactions!A2:A19,"&gt;="&amp;B7,Transactions!A2:A19,"&lt;="&amp;C7)</f>
        <v/>
      </c>
      <c r="F7">
        <f>SUMIFS(Transactions!D2:D19,Transactions!A2:A19,"&gt;="&amp;B7,Transactions!A2:A19,"&lt;="&amp;C7,Transactions!F2:F19,"salary")</f>
        <v/>
      </c>
      <c r="G7">
        <f>SUMIFS(Transactions!C2:C19,Transactions!A2:A19,"&gt;="&amp;B7,Transactions!A2:A19,"&lt;="&amp;C7,Transactions!F2:F19,"emi")</f>
        <v/>
      </c>
      <c r="H7">
        <f>INDEX(Transactions!E2:E19,MATCH(MAXIFS(Transactions!A2:A19,Transactions!A2:A19,"&gt;="&amp;B7,Transactions!A2:A19,"&lt;="&amp;C7),Transactions!A2:A19,0))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2026-07-03T09:44:39Z</dcterms:created>
  <dcterms:modified xsi:type="dcterms:W3CDTF">2026-07-03T09:44:39Z</dcterms:modified>
</cp:coreProperties>
</file>