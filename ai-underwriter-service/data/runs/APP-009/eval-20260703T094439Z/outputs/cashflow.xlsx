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nsactions" sheetId="2" state="visible" r:id="rId2"/>
    <sheet name="Monthly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8860B"/>
        <bgColor rgb="00B886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Cash-Flow Summary</t>
        </is>
      </c>
    </row>
    <row r="3">
      <c r="A3" s="2" t="inlineStr">
        <is>
          <t>Applicant</t>
        </is>
      </c>
      <c r="B3" t="inlineStr">
        <is>
          <t>Rohit Verma</t>
        </is>
      </c>
    </row>
    <row r="4">
      <c r="A4" s="2" t="inlineStr">
        <is>
          <t>Application ID</t>
        </is>
      </c>
      <c r="B4" t="inlineStr">
        <is>
          <t>APP-009</t>
        </is>
      </c>
    </row>
    <row r="5">
      <c r="A5" s="2" t="inlineStr">
        <is>
          <t>Employment type</t>
        </is>
      </c>
      <c r="B5" t="inlineStr">
        <is>
          <t>salaried</t>
        </is>
      </c>
    </row>
    <row r="6">
      <c r="A6" s="2" t="inlineStr">
        <is>
          <t>Net monthly income (income sheet)</t>
        </is>
      </c>
      <c r="B6" t="n">
        <v>95000</v>
      </c>
    </row>
    <row r="7">
      <c r="A7" s="2" t="inlineStr">
        <is>
          <t>Existing EMIs (avg/month)</t>
        </is>
      </c>
      <c r="B7">
        <f>AVERAGE('Monthly Trend'!G2:G7)</f>
        <v/>
      </c>
    </row>
    <row r="8">
      <c r="A8" s="2" t="inlineStr">
        <is>
          <t>Proposed EMI</t>
        </is>
      </c>
      <c r="B8" t="n">
        <v>11962.17041530893</v>
      </c>
    </row>
    <row r="9">
      <c r="A9" s="2" t="inlineStr">
        <is>
          <t>FOIR</t>
        </is>
      </c>
      <c r="B9" s="3">
        <f>(B7+B8)/B6</f>
        <v/>
      </c>
    </row>
    <row r="10">
      <c r="A10" s="2" t="inlineStr">
        <is>
          <t>Credit score</t>
        </is>
      </c>
      <c r="B10" t="n">
        <v>745</v>
      </c>
    </row>
    <row r="11">
      <c r="A11" s="2" t="inlineStr">
        <is>
          <t>Average bank balance</t>
        </is>
      </c>
      <c r="B11">
        <f>AVERAGE('Monthly Trend'!H2:H7)</f>
        <v/>
      </c>
    </row>
    <row r="12">
      <c r="A12" s="2" t="inlineStr">
        <is>
          <t>Payment returns</t>
        </is>
      </c>
      <c r="B12" t="n">
        <v>0</v>
      </c>
    </row>
    <row r="13">
      <c r="A13" s="2" t="inlineStr">
        <is>
          <t>Salary credit months (of 6)</t>
        </is>
      </c>
      <c r="B13" t="n">
        <v>4</v>
      </c>
    </row>
    <row r="14">
      <c r="A14" s="2" t="inlineStr">
        <is>
          <t>Vintage (months)</t>
        </is>
      </c>
      <c r="B14" t="n">
        <v>3</v>
      </c>
    </row>
    <row r="15">
      <c r="A15" s="2" t="inlineStr">
        <is>
          <t>Unexplained large cash deposit</t>
        </is>
      </c>
      <c r="B15" t="inlineStr">
        <is>
          <t>No</t>
        </is>
      </c>
    </row>
    <row r="16">
      <c r="A16" s="2" t="n"/>
      <c r="B16" s="4" t="n"/>
    </row>
    <row r="17">
      <c r="A17" t="inlineStr">
        <is>
          <t>Decision</t>
        </is>
      </c>
      <c r="B17" t="inlineStr">
        <is>
          <t>REFER</t>
        </is>
      </c>
    </row>
    <row r="19">
      <c r="A19" s="2" t="inlineStr">
        <is>
          <t>Reasons</t>
        </is>
      </c>
    </row>
    <row r="20">
      <c r="A20" t="inlineStr">
        <is>
          <t>R4_VINTAGE</t>
        </is>
      </c>
      <c r="B20" t="inlineStr">
        <is>
          <t>Vintage of 3 months is below the refer threshold of 6 months.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Debit</t>
        </is>
      </c>
      <c r="D1" s="5" t="inlineStr">
        <is>
          <t>Credit</t>
        </is>
      </c>
      <c r="E1" s="5" t="inlineStr">
        <is>
          <t>Balance</t>
        </is>
      </c>
      <c r="F1" s="5" t="inlineStr">
        <is>
          <t>Category</t>
        </is>
      </c>
    </row>
    <row r="2">
      <c r="A2" s="6" t="n">
        <v>45845</v>
      </c>
      <c r="B2" t="inlineStr">
        <is>
          <t>ACH Debit - EXISTING LOAN EMI</t>
        </is>
      </c>
      <c r="C2" t="n">
        <v>4000</v>
      </c>
      <c r="E2" t="n">
        <v>12074</v>
      </c>
      <c r="F2" t="inlineStr">
        <is>
          <t>emi</t>
        </is>
      </c>
    </row>
    <row r="3">
      <c r="A3" s="6" t="n">
        <v>45853</v>
      </c>
      <c r="B3" t="inlineStr">
        <is>
          <t>UPI - UTILITIES &amp; BILLS</t>
        </is>
      </c>
      <c r="C3" t="n">
        <v>1431</v>
      </c>
      <c r="E3" t="n">
        <v>10643</v>
      </c>
      <c r="F3" t="inlineStr">
        <is>
          <t>other</t>
        </is>
      </c>
    </row>
    <row r="4">
      <c r="A4" s="6" t="n">
        <v>45863</v>
      </c>
      <c r="B4" t="inlineStr">
        <is>
          <t>POS / UPI - HOUSEHOLD SPENDS</t>
        </is>
      </c>
      <c r="C4" t="n">
        <v>4623</v>
      </c>
      <c r="E4" t="n">
        <v>6020</v>
      </c>
      <c r="F4" t="inlineStr">
        <is>
          <t>other</t>
        </is>
      </c>
    </row>
    <row r="5">
      <c r="A5" s="6" t="n">
        <v>45874</v>
      </c>
      <c r="B5" t="inlineStr">
        <is>
          <t>Salary Credit - EMP PAYROLL</t>
        </is>
      </c>
      <c r="D5" t="n">
        <v>95000</v>
      </c>
      <c r="E5" t="n">
        <v>101020</v>
      </c>
      <c r="F5" t="inlineStr">
        <is>
          <t>salary</t>
        </is>
      </c>
    </row>
    <row r="6">
      <c r="A6" s="6" t="n">
        <v>45876</v>
      </c>
      <c r="B6" t="inlineStr">
        <is>
          <t>ACH Debit - EXISTING LOAN EMI</t>
        </is>
      </c>
      <c r="C6" t="n">
        <v>4000</v>
      </c>
      <c r="E6" t="n">
        <v>97020</v>
      </c>
      <c r="F6" t="inlineStr">
        <is>
          <t>emi</t>
        </is>
      </c>
    </row>
    <row r="7">
      <c r="A7" s="6" t="n">
        <v>45884</v>
      </c>
      <c r="B7" t="inlineStr">
        <is>
          <t>UPI - UTILITIES &amp; BILLS</t>
        </is>
      </c>
      <c r="C7" t="n">
        <v>2550</v>
      </c>
      <c r="E7" t="n">
        <v>94470</v>
      </c>
      <c r="F7" t="inlineStr">
        <is>
          <t>other</t>
        </is>
      </c>
    </row>
    <row r="8">
      <c r="A8" s="6" t="n">
        <v>45894</v>
      </c>
      <c r="B8" t="inlineStr">
        <is>
          <t>POS / UPI - HOUSEHOLD SPENDS</t>
        </is>
      </c>
      <c r="C8" t="n">
        <v>79948</v>
      </c>
      <c r="E8" t="n">
        <v>14522</v>
      </c>
      <c r="F8" t="inlineStr">
        <is>
          <t>other</t>
        </is>
      </c>
    </row>
    <row r="9">
      <c r="A9" s="6" t="n">
        <v>45905</v>
      </c>
      <c r="B9" t="inlineStr">
        <is>
          <t>Salary Credit - EMP PAYROLL</t>
        </is>
      </c>
      <c r="D9" t="n">
        <v>95000</v>
      </c>
      <c r="E9" t="n">
        <v>109522</v>
      </c>
      <c r="F9" t="inlineStr">
        <is>
          <t>salary</t>
        </is>
      </c>
    </row>
    <row r="10">
      <c r="A10" s="6" t="n">
        <v>45907</v>
      </c>
      <c r="B10" t="inlineStr">
        <is>
          <t>ACH Debit - EXISTING LOAN EMI</t>
        </is>
      </c>
      <c r="C10" t="n">
        <v>4000</v>
      </c>
      <c r="E10" t="n">
        <v>105522</v>
      </c>
      <c r="F10" t="inlineStr">
        <is>
          <t>emi</t>
        </is>
      </c>
    </row>
    <row r="11">
      <c r="A11" s="6" t="n">
        <v>45915</v>
      </c>
      <c r="B11" t="inlineStr">
        <is>
          <t>UPI - UTILITIES &amp; BILLS</t>
        </is>
      </c>
      <c r="C11" t="n">
        <v>2257</v>
      </c>
      <c r="E11" t="n">
        <v>103265</v>
      </c>
      <c r="F11" t="inlineStr">
        <is>
          <t>other</t>
        </is>
      </c>
    </row>
    <row r="12">
      <c r="A12" s="6" t="n">
        <v>45925</v>
      </c>
      <c r="B12" t="inlineStr">
        <is>
          <t>POS / UPI - HOUSEHOLD SPENDS</t>
        </is>
      </c>
      <c r="C12" t="n">
        <v>81914</v>
      </c>
      <c r="E12" t="n">
        <v>21351</v>
      </c>
      <c r="F12" t="inlineStr">
        <is>
          <t>other</t>
        </is>
      </c>
    </row>
    <row r="13">
      <c r="A13" s="6" t="n">
        <v>45935</v>
      </c>
      <c r="B13" t="inlineStr">
        <is>
          <t>Salary Credit - EMP PAYROLL</t>
        </is>
      </c>
      <c r="D13" t="n">
        <v>95000</v>
      </c>
      <c r="E13" t="n">
        <v>116351</v>
      </c>
      <c r="F13" t="inlineStr">
        <is>
          <t>salary</t>
        </is>
      </c>
    </row>
    <row r="14">
      <c r="A14" s="6" t="n">
        <v>45937</v>
      </c>
      <c r="B14" t="inlineStr">
        <is>
          <t>ACH Debit - EXISTING LOAN EMI</t>
        </is>
      </c>
      <c r="C14" t="n">
        <v>4000</v>
      </c>
      <c r="E14" t="n">
        <v>112351</v>
      </c>
      <c r="F14" t="inlineStr">
        <is>
          <t>emi</t>
        </is>
      </c>
    </row>
    <row r="15">
      <c r="A15" s="6" t="n">
        <v>45945</v>
      </c>
      <c r="B15" t="inlineStr">
        <is>
          <t>UPI - UTILITIES &amp; BILLS</t>
        </is>
      </c>
      <c r="C15" t="n">
        <v>2198</v>
      </c>
      <c r="E15" t="n">
        <v>110153</v>
      </c>
      <c r="F15" t="inlineStr">
        <is>
          <t>other</t>
        </is>
      </c>
    </row>
    <row r="16">
      <c r="A16" s="6" t="n">
        <v>45955</v>
      </c>
      <c r="B16" t="inlineStr">
        <is>
          <t>POS / UPI - HOUSEHOLD SPENDS</t>
        </is>
      </c>
      <c r="C16" t="n">
        <v>84009</v>
      </c>
      <c r="E16" t="n">
        <v>26144</v>
      </c>
      <c r="F16" t="inlineStr">
        <is>
          <t>other</t>
        </is>
      </c>
    </row>
    <row r="17">
      <c r="A17" s="6" t="n">
        <v>45968</v>
      </c>
      <c r="B17" t="inlineStr">
        <is>
          <t>ACH Debit - EXISTING LOAN EMI</t>
        </is>
      </c>
      <c r="C17" t="n">
        <v>4000</v>
      </c>
      <c r="E17" t="n">
        <v>22144</v>
      </c>
      <c r="F17" t="inlineStr">
        <is>
          <t>emi</t>
        </is>
      </c>
    </row>
    <row r="18">
      <c r="A18" s="6" t="n">
        <v>45976</v>
      </c>
      <c r="B18" t="inlineStr">
        <is>
          <t>UPI - UTILITIES &amp; BILLS</t>
        </is>
      </c>
      <c r="C18" t="n">
        <v>2140</v>
      </c>
      <c r="E18" t="n">
        <v>20004</v>
      </c>
      <c r="F18" t="inlineStr">
        <is>
          <t>other</t>
        </is>
      </c>
    </row>
    <row r="19">
      <c r="A19" s="6" t="n">
        <v>45986</v>
      </c>
      <c r="B19" t="inlineStr">
        <is>
          <t>POS / UPI - HOUSEHOLD SPENDS</t>
        </is>
      </c>
      <c r="C19" t="n">
        <v>5649</v>
      </c>
      <c r="E19" t="n">
        <v>14355</v>
      </c>
      <c r="F19" t="inlineStr">
        <is>
          <t>other</t>
        </is>
      </c>
    </row>
    <row r="20">
      <c r="A20" s="6" t="n">
        <v>45996</v>
      </c>
      <c r="B20" t="inlineStr">
        <is>
          <t>Salary Credit - EMP PAYROLL</t>
        </is>
      </c>
      <c r="D20" t="n">
        <v>95000</v>
      </c>
      <c r="E20" t="n">
        <v>109355</v>
      </c>
      <c r="F20" t="inlineStr">
        <is>
          <t>salary</t>
        </is>
      </c>
    </row>
    <row r="21">
      <c r="A21" s="6" t="n">
        <v>45998</v>
      </c>
      <c r="B21" t="inlineStr">
        <is>
          <t>ACH Debit - EXISTING LOAN EMI</t>
        </is>
      </c>
      <c r="C21" t="n">
        <v>4000</v>
      </c>
      <c r="E21" t="n">
        <v>105355</v>
      </c>
      <c r="F21" t="inlineStr">
        <is>
          <t>emi</t>
        </is>
      </c>
    </row>
    <row r="22">
      <c r="A22" s="6" t="n">
        <v>46006</v>
      </c>
      <c r="B22" t="inlineStr">
        <is>
          <t>UPI - UTILITIES &amp; BILLS</t>
        </is>
      </c>
      <c r="C22" t="n">
        <v>1832</v>
      </c>
      <c r="E22" t="n">
        <v>103523</v>
      </c>
      <c r="F22" t="inlineStr">
        <is>
          <t>other</t>
        </is>
      </c>
    </row>
    <row r="23">
      <c r="A23" s="6" t="n">
        <v>46016</v>
      </c>
      <c r="B23" t="inlineStr">
        <is>
          <t>POS / UPI - HOUSEHOLD SPENDS</t>
        </is>
      </c>
      <c r="C23" t="n">
        <v>85433</v>
      </c>
      <c r="E23" t="n">
        <v>18090</v>
      </c>
      <c r="F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Month</t>
        </is>
      </c>
      <c r="B1" s="5" t="inlineStr">
        <is>
          <t>Month Start</t>
        </is>
      </c>
      <c r="C1" s="5" t="inlineStr">
        <is>
          <t>Month End</t>
        </is>
      </c>
      <c r="D1" s="5" t="inlineStr">
        <is>
          <t>Total Credits</t>
        </is>
      </c>
      <c r="E1" s="5" t="inlineStr">
        <is>
          <t>Total Debits</t>
        </is>
      </c>
      <c r="F1" s="5" t="inlineStr">
        <is>
          <t>Salary Credits</t>
        </is>
      </c>
      <c r="G1" s="5" t="inlineStr">
        <is>
          <t>EMI Debits</t>
        </is>
      </c>
      <c r="H1" s="5" t="inlineStr">
        <is>
          <t>Month-End Balance</t>
        </is>
      </c>
    </row>
    <row r="2">
      <c r="A2" t="inlineStr">
        <is>
          <t>Jul 2025</t>
        </is>
      </c>
      <c r="B2" s="6" t="n">
        <v>45839</v>
      </c>
      <c r="C2" s="6" t="n">
        <v>45869</v>
      </c>
      <c r="D2">
        <f>SUMIFS(Transactions!D2:D23,Transactions!A2:A23,"&gt;="&amp;B2,Transactions!A2:A23,"&lt;="&amp;C2)</f>
        <v/>
      </c>
      <c r="E2">
        <f>SUMIFS(Transactions!C2:C23,Transactions!A2:A23,"&gt;="&amp;B2,Transactions!A2:A23,"&lt;="&amp;C2)</f>
        <v/>
      </c>
      <c r="F2">
        <f>SUMIFS(Transactions!D2:D23,Transactions!A2:A23,"&gt;="&amp;B2,Transactions!A2:A23,"&lt;="&amp;C2,Transactions!F2:F23,"salary")</f>
        <v/>
      </c>
      <c r="G2">
        <f>SUMIFS(Transactions!C2:C23,Transactions!A2:A23,"&gt;="&amp;B2,Transactions!A2:A23,"&lt;="&amp;C2,Transactions!F2:F23,"emi")</f>
        <v/>
      </c>
      <c r="H2">
        <f>INDEX(Transactions!E2:E23,MATCH(MAXIFS(Transactions!A2:A23,Transactions!A2:A23,"&gt;="&amp;B2,Transactions!A2:A23,"&lt;="&amp;C2),Transactions!A2:A23,0))</f>
        <v/>
      </c>
    </row>
    <row r="3">
      <c r="A3" t="inlineStr">
        <is>
          <t>Aug 2025</t>
        </is>
      </c>
      <c r="B3" s="6" t="n">
        <v>45870</v>
      </c>
      <c r="C3" s="6" t="n">
        <v>45900</v>
      </c>
      <c r="D3">
        <f>SUMIFS(Transactions!D2:D23,Transactions!A2:A23,"&gt;="&amp;B3,Transactions!A2:A23,"&lt;="&amp;C3)</f>
        <v/>
      </c>
      <c r="E3">
        <f>SUMIFS(Transactions!C2:C23,Transactions!A2:A23,"&gt;="&amp;B3,Transactions!A2:A23,"&lt;="&amp;C3)</f>
        <v/>
      </c>
      <c r="F3">
        <f>SUMIFS(Transactions!D2:D23,Transactions!A2:A23,"&gt;="&amp;B3,Transactions!A2:A23,"&lt;="&amp;C3,Transactions!F2:F23,"salary")</f>
        <v/>
      </c>
      <c r="G3">
        <f>SUMIFS(Transactions!C2:C23,Transactions!A2:A23,"&gt;="&amp;B3,Transactions!A2:A23,"&lt;="&amp;C3,Transactions!F2:F23,"emi")</f>
        <v/>
      </c>
      <c r="H3">
        <f>INDEX(Transactions!E2:E23,MATCH(MAXIFS(Transactions!A2:A23,Transactions!A2:A23,"&gt;="&amp;B3,Transactions!A2:A23,"&lt;="&amp;C3),Transactions!A2:A23,0))</f>
        <v/>
      </c>
    </row>
    <row r="4">
      <c r="A4" t="inlineStr">
        <is>
          <t>Sep 2025</t>
        </is>
      </c>
      <c r="B4" s="6" t="n">
        <v>45901</v>
      </c>
      <c r="C4" s="6" t="n">
        <v>45930</v>
      </c>
      <c r="D4">
        <f>SUMIFS(Transactions!D2:D23,Transactions!A2:A23,"&gt;="&amp;B4,Transactions!A2:A23,"&lt;="&amp;C4)</f>
        <v/>
      </c>
      <c r="E4">
        <f>SUMIFS(Transactions!C2:C23,Transactions!A2:A23,"&gt;="&amp;B4,Transactions!A2:A23,"&lt;="&amp;C4)</f>
        <v/>
      </c>
      <c r="F4">
        <f>SUMIFS(Transactions!D2:D23,Transactions!A2:A23,"&gt;="&amp;B4,Transactions!A2:A23,"&lt;="&amp;C4,Transactions!F2:F23,"salary")</f>
        <v/>
      </c>
      <c r="G4">
        <f>SUMIFS(Transactions!C2:C23,Transactions!A2:A23,"&gt;="&amp;B4,Transactions!A2:A23,"&lt;="&amp;C4,Transactions!F2:F23,"emi")</f>
        <v/>
      </c>
      <c r="H4">
        <f>INDEX(Transactions!E2:E23,MATCH(MAXIFS(Transactions!A2:A23,Transactions!A2:A23,"&gt;="&amp;B4,Transactions!A2:A23,"&lt;="&amp;C4),Transactions!A2:A23,0))</f>
        <v/>
      </c>
    </row>
    <row r="5">
      <c r="A5" t="inlineStr">
        <is>
          <t>Oct 2025</t>
        </is>
      </c>
      <c r="B5" s="6" t="n">
        <v>45931</v>
      </c>
      <c r="C5" s="6" t="n">
        <v>45961</v>
      </c>
      <c r="D5">
        <f>SUMIFS(Transactions!D2:D23,Transactions!A2:A23,"&gt;="&amp;B5,Transactions!A2:A23,"&lt;="&amp;C5)</f>
        <v/>
      </c>
      <c r="E5">
        <f>SUMIFS(Transactions!C2:C23,Transactions!A2:A23,"&gt;="&amp;B5,Transactions!A2:A23,"&lt;="&amp;C5)</f>
        <v/>
      </c>
      <c r="F5">
        <f>SUMIFS(Transactions!D2:D23,Transactions!A2:A23,"&gt;="&amp;B5,Transactions!A2:A23,"&lt;="&amp;C5,Transactions!F2:F23,"salary")</f>
        <v/>
      </c>
      <c r="G5">
        <f>SUMIFS(Transactions!C2:C23,Transactions!A2:A23,"&gt;="&amp;B5,Transactions!A2:A23,"&lt;="&amp;C5,Transactions!F2:F23,"emi")</f>
        <v/>
      </c>
      <c r="H5">
        <f>INDEX(Transactions!E2:E23,MATCH(MAXIFS(Transactions!A2:A23,Transactions!A2:A23,"&gt;="&amp;B5,Transactions!A2:A23,"&lt;="&amp;C5),Transactions!A2:A23,0))</f>
        <v/>
      </c>
    </row>
    <row r="6">
      <c r="A6" t="inlineStr">
        <is>
          <t>Nov 2025</t>
        </is>
      </c>
      <c r="B6" s="6" t="n">
        <v>45962</v>
      </c>
      <c r="C6" s="6" t="n">
        <v>45991</v>
      </c>
      <c r="D6">
        <f>SUMIFS(Transactions!D2:D23,Transactions!A2:A23,"&gt;="&amp;B6,Transactions!A2:A23,"&lt;="&amp;C6)</f>
        <v/>
      </c>
      <c r="E6">
        <f>SUMIFS(Transactions!C2:C23,Transactions!A2:A23,"&gt;="&amp;B6,Transactions!A2:A23,"&lt;="&amp;C6)</f>
        <v/>
      </c>
      <c r="F6">
        <f>SUMIFS(Transactions!D2:D23,Transactions!A2:A23,"&gt;="&amp;B6,Transactions!A2:A23,"&lt;="&amp;C6,Transactions!F2:F23,"salary")</f>
        <v/>
      </c>
      <c r="G6">
        <f>SUMIFS(Transactions!C2:C23,Transactions!A2:A23,"&gt;="&amp;B6,Transactions!A2:A23,"&lt;="&amp;C6,Transactions!F2:F23,"emi")</f>
        <v/>
      </c>
      <c r="H6">
        <f>INDEX(Transactions!E2:E23,MATCH(MAXIFS(Transactions!A2:A23,Transactions!A2:A23,"&gt;="&amp;B6,Transactions!A2:A23,"&lt;="&amp;C6),Transactions!A2:A23,0))</f>
        <v/>
      </c>
    </row>
    <row r="7">
      <c r="A7" t="inlineStr">
        <is>
          <t>Dec 2025</t>
        </is>
      </c>
      <c r="B7" s="6" t="n">
        <v>45992</v>
      </c>
      <c r="C7" s="6" t="n">
        <v>46022</v>
      </c>
      <c r="D7">
        <f>SUMIFS(Transactions!D2:D23,Transactions!A2:A23,"&gt;="&amp;B7,Transactions!A2:A23,"&lt;="&amp;C7)</f>
        <v/>
      </c>
      <c r="E7">
        <f>SUMIFS(Transactions!C2:C23,Transactions!A2:A23,"&gt;="&amp;B7,Transactions!A2:A23,"&lt;="&amp;C7)</f>
        <v/>
      </c>
      <c r="F7">
        <f>SUMIFS(Transactions!D2:D23,Transactions!A2:A23,"&gt;="&amp;B7,Transactions!A2:A23,"&lt;="&amp;C7,Transactions!F2:F23,"salary")</f>
        <v/>
      </c>
      <c r="G7">
        <f>SUMIFS(Transactions!C2:C23,Transactions!A2:A23,"&gt;="&amp;B7,Transactions!A2:A23,"&lt;="&amp;C7,Transactions!F2:F23,"emi")</f>
        <v/>
      </c>
      <c r="H7">
        <f>INDEX(Transactions!E2:E23,MATCH(MAXIFS(Transactions!A2:A23,Transactions!A2:A23,"&gt;="&amp;B7,Transactions!A2:A23,"&lt;="&amp;C7),Transactions!A2:A23,0))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2026-07-03T09:44:40Z</dcterms:created>
  <dcterms:modified xsi:type="dcterms:W3CDTF">2026-07-03T09:44:40Z</dcterms:modified>
</cp:coreProperties>
</file>